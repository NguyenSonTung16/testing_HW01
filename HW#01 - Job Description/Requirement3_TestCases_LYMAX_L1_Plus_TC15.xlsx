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activeTab="1"/>
  </bookViews>
  <sheets>
    <sheet name="Test Cases" sheetId="1" r:id="rId1"/>
    <sheet name="Checklist" sheetId="2" r:id="rId2"/>
    <sheet name="Test Summary Repo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<sst xmlns="http://schemas.openxmlformats.org/spreadsheetml/2006/main" count="172" uniqueCount="131">
  <si>
    <t>Requirement 3 – Test Cases: LYMAX L1 Plus</t>
  </si>
  <si>
    <t>Thông tin thiết bị: Brand/Model/Year/Serial Number sẽ được sinh viên đối chiếu từ tem hoặc bao bì thực tế; che 4 ký tự giữa của serial khi nộp.</t>
  </si>
  <si>
    <t>Brand</t>
  </si>
  <si>
    <t>Xiaomi</t>
  </si>
  <si>
    <t>Model</t>
  </si>
  <si>
    <t>LYMAX L1 Plus</t>
  </si>
  <si>
    <t>Year / Serial Number</t>
  </si>
  <si>
    <t>2024 - 2408257G1MM2TB (đây là mã đơn hàng do không có mã seri được in trên sản phẩm)</t>
  </si>
  <si>
    <t>Nguồn tham khảo chức năng/thông số: https://manuals.plus/ae/1005004545704246</t>
  </si>
  <si>
    <t>ID</t>
  </si>
  <si>
    <t>Objective</t>
  </si>
  <si>
    <t>Input</t>
  </si>
  <si>
    <t>Steps</t>
  </si>
  <si>
    <t>Expected</t>
  </si>
  <si>
    <t>Actual</t>
  </si>
  <si>
    <t>Verdict</t>
  </si>
  <si>
    <t>Source</t>
  </si>
  <si>
    <t>TC01</t>
  </si>
  <si>
    <t>Kiểm tra bật đèn bằng nút cảm ứng</t>
  </si>
  <si>
    <t>Đèn kết nối nguồn 5V và đang tắt</t>
  </si>
  <si>
    <t>Chạm ngắn nút nguồn trên đèn</t>
  </si>
  <si>
    <t>Đèn bật sáng ổn định</t>
  </si>
  <si>
    <t>Success</t>
  </si>
  <si>
    <t>AI-assisted baseline</t>
  </si>
  <si>
    <t>TC02</t>
  </si>
  <si>
    <t>Kiểm tra tắt đèn bằng nút cảm ứng</t>
  </si>
  <si>
    <t>Đèn đang bật</t>
  </si>
  <si>
    <t>Chạm ngắn nút nguồn lần nữa</t>
  </si>
  <si>
    <t>Đèn tắt hoàn toàn</t>
  </si>
  <si>
    <t>Pending</t>
  </si>
  <si>
    <t>TC03</t>
  </si>
  <si>
    <t>Kiểm tra chuyển chế độ màu bằng nút trên đèn</t>
  </si>
  <si>
    <t>Chạm nút điều chỉnh màu nhiều lần</t>
  </si>
  <si>
    <t>Đèn chuyển giữa trắng, trung tính và vàng ấm</t>
  </si>
  <si>
    <t>TC04</t>
  </si>
  <si>
    <t>Kiểm tra tăng độ sáng bằng nút trên đèn</t>
  </si>
  <si>
    <t>Đèn bật ở mức sáng thấp</t>
  </si>
  <si>
    <t>Nhấn giữ nút điều chỉnh độ sáng</t>
  </si>
  <si>
    <t>Độ sáng tăng dần</t>
  </si>
  <si>
    <t>TC05</t>
  </si>
  <si>
    <t>Kiểm tra giảm độ sáng bằng nút trên đèn</t>
  </si>
  <si>
    <t>Đèn bật ở mức sáng cao</t>
  </si>
  <si>
    <t>Độ sáng giảm dần</t>
  </si>
  <si>
    <t>TC06</t>
  </si>
  <si>
    <t>Kiểm tra bật đèn bằng remote</t>
  </si>
  <si>
    <t>Remote có pin và đã ghép nối, đèn đang tắt</t>
  </si>
  <si>
    <t>Nhấn 1 lần vào nút remote</t>
  </si>
  <si>
    <t>Đèn thay đổi trạng thái từ tắt sang bật</t>
  </si>
  <si>
    <t>TC07</t>
  </si>
  <si>
    <t>Kiểm tra chuyển màu bằng remote</t>
  </si>
  <si>
    <t>Đèn chuyển sang chế độ màu kế tiếp</t>
  </si>
  <si>
    <t>TC08</t>
  </si>
  <si>
    <t>Kiểm tra điều chỉnh độ sáng bằng núm xoay remote</t>
  </si>
  <si>
    <t>Xoay núm theo chiều tăng và giảm</t>
  </si>
  <si>
    <t>Độ sáng thay đổi tương ứng với chiều xoay</t>
  </si>
  <si>
    <t>TC09</t>
  </si>
  <si>
    <t>Kiểm tra tắt đèn bằng nhấn giữ remote</t>
  </si>
  <si>
    <t>Nhấn giữ nút remote khoảng 3s</t>
  </si>
  <si>
    <t>Đèn tắt</t>
  </si>
  <si>
    <t>TC10</t>
  </si>
  <si>
    <t>Kiểm tra kết nối nguồn USB-C</t>
  </si>
  <si>
    <t>Đèn tắt, cáp USB-C và nguồn 5V</t>
  </si>
  <si>
    <t>Cắm cáp vào đèn và nguồn điện</t>
  </si>
  <si>
    <t>Đèn nhận nguồn và có thể bật</t>
  </si>
  <si>
    <t>TC11</t>
  </si>
  <si>
    <t>Kiểm tra độ ổn định khi đèn được kẹp lên trên giữa cạnh màn hình</t>
  </si>
  <si>
    <t>Màn hình đang sử dụng</t>
  </si>
  <si>
    <t>Đặt đèn vào giữa cạnh trên màn hình và điều chỉnh góc</t>
  </si>
  <si>
    <t>Đèn đứng vững, không rơi và chiếu xuống bàn ổn định khi di chuyển màn hình</t>
  </si>
  <si>
    <t>TC12</t>
  </si>
  <si>
    <t>Kiểm tra không gây phản chiếu trực tiếp lên màn hình</t>
  </si>
  <si>
    <t>Màn hình đang bật, đèn đang sáng</t>
  </si>
  <si>
    <t>Điều chỉnh góc chiếu và quan sát màn hình</t>
  </si>
  <si>
    <t>Ánh sáng tập trung xuống bàn, không gây chói rõ trên màn hình</t>
  </si>
  <si>
    <t>TC13</t>
  </si>
  <si>
    <t>Kiểm tra độ bám cố định của remote sau thời gian dài sử dụng</t>
  </si>
  <si>
    <t>Remote, mặt bàn phẳng và sạch; remote đã được sử dụng trong thời gian dài</t>
  </si>
  <si>
    <t>1. Dán mặt sau remote lên mặt bàn.
2. Đặt remote ở vị trí cố định và sử dụng trong thời gian dài.
3. Quan sát khả năng bám dính.
4. Chạm nhẹ hoặc thao tác với remote như khi sử dụng bình thường.</t>
  </si>
  <si>
    <t>Remote vẫn bám chắc, không tự bong hoặc trượt khỏi vị trí</t>
  </si>
  <si>
    <t>Student-defined edge case</t>
  </si>
  <si>
    <t>TC14</t>
  </si>
  <si>
    <t>Kiểm tra độ ổn định của đèn trên màn hình có mặt lưng cong ở vị trí giữa và mép ngoài</t>
  </si>
  <si>
    <t>Màn hình có mặt lưng cong; đèn được đặt lần lượt ở giữa và gần hai mép ngoài</t>
  </si>
  <si>
    <t>1. Kẹp đèn tại vị trí giữa cạnh trên màn hình.
2. Kiểm tra độ vững của đèn.
3. Di chuyển đèn lần lượt về gần mép trái và mép phải.
4. Chạm nhẹ vào đèn hoặc thao tác bình thường với remote.</t>
  </si>
  <si>
    <t>Đèn vẫn được kẹp chắc và không bị lung lay đáng kể ở các vị trí được thiết kế để sử dụng</t>
  </si>
  <si>
    <t>Ở giữa màn hình đèn tương đối vững; khi di chuyển về hai mép ngoài, đèn bị lung lay vì mặt kẹp phẳng không ôm theo mặt lưng cong</t>
  </si>
  <si>
    <t>FAIL</t>
  </si>
  <si>
    <t>TC15</t>
  </si>
  <si>
    <t>Kiểm tra việc ánh sáng làm bụi trên màn hình dễ nhìn thấy hơn</t>
  </si>
  <si>
    <t>Màn hình vừa được lau; nội dung có nền sáng; đèn tắt/bật</t>
  </si>
  <si>
    <t>1. Lau màn hình bằng khăn mềm.
2. Hiển thị nội dung có nền sáng.
3. Quan sát màn hình khi đèn tắt.
4. Bật đèn và điều chỉnh góc chiếu như khi sử dụng bình thường.
5. So sánh mức độ nhìn thấy bụi và ảnh hưởng đến tầm nhìn.</t>
  </si>
  <si>
    <t>Ánh sáng đèn không làm bụi trở nên quá nổi bật hoặc gây cản trở đáng kể khi nhìn màn hình</t>
  </si>
  <si>
    <t>Requirement 3 – Submission Checklist</t>
  </si>
  <si>
    <t>Requirement</t>
  </si>
  <si>
    <t>Evidence / Action</t>
  </si>
  <si>
    <t>Status</t>
  </si>
  <si>
    <t>Notes</t>
  </si>
  <si>
    <t>Device identity</t>
  </si>
  <si>
    <t>Brand, model, year and serial number; mask the middle 4 serial characters</t>
  </si>
  <si>
    <t>Done</t>
  </si>
  <si>
    <t>Use the physical label or package</t>
  </si>
  <si>
    <t>Photo evidence</t>
  </si>
  <si>
    <t>One photo showing the device and student ID card in the same frame</t>
  </si>
  <si>
    <t>The current device photo does not show the ID card</t>
  </si>
  <si>
    <t>Test cases</t>
  </si>
  <si>
    <t>15 cases total: 12 baseline cases plus 3 student-defined edge cases</t>
  </si>
  <si>
    <t>TC13–TC15 completed; execute at least 5 cases and complete the evidence</t>
  </si>
  <si>
    <t>Edge cases</t>
  </si>
  <si>
    <t>At least 3 cases that the AI tool did not find</t>
  </si>
  <si>
    <t>TC13–TC15 completed as student-defined edge cases</t>
  </si>
  <si>
    <t>Real-device execution</t>
  </si>
  <si>
    <t>Execute at least 5 test cases on the real device</t>
  </si>
  <si>
    <t>Fill Actual and Verdict in Test Cases</t>
  </si>
  <si>
    <t>Video evidence</t>
  </si>
  <si>
    <t>At least 5 videos, each no longer than 60 seconds, with student narration</t>
  </si>
  <si>
    <t>Recommended: TC01, TC03, TC06, TC08, TC11</t>
  </si>
  <si>
    <t>Final review</t>
  </si>
  <si>
    <t>Check all Objective/Input/Steps/Expected/Actual/Verdict fields</t>
  </si>
  <si>
    <t>Export the completed workbook with the report</t>
  </si>
  <si>
    <t>Requirement 3 – Test Summary Report</t>
  </si>
  <si>
    <t>Metric</t>
  </si>
  <si>
    <t>Value</t>
  </si>
  <si>
    <t>Total planned test cases</t>
  </si>
  <si>
    <t>AI-assisted baseline cases</t>
  </si>
  <si>
    <t>Student-defined edge cases</t>
  </si>
  <si>
    <t>Executed test cases</t>
  </si>
  <si>
    <t>Passed</t>
  </si>
  <si>
    <t>Failed</t>
  </si>
  <si>
    <t>Pending / not yet recorded</t>
  </si>
  <si>
    <t>Execution note</t>
  </si>
  <si>
    <t>TC01-TC12 are recorded as Success in this worksheet update. TC13-TC15 remain failed student-defined edge cases. Add video references and final evidence before submission.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</si>
</sst>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name val="Carlito"/>
      <charset val="134"/>
    </font>
    <font>
      <b/>
      <sz val="14"/>
      <color rgb="FFFFFFFF"/>
      <name val="Arial"/>
      <charset val="134"/>
    </font>
    <font>
      <b/>
      <sz val="10"/>
      <color rgb="FFFFFFFF"/>
      <name val="Arial"/>
      <charset val="134"/>
    </font>
    <font>
      <b/>
      <sz val="10"/>
      <name val="Arial"/>
      <charset val="134"/>
    </font>
    <font>
      <i/>
      <sz val="10"/>
      <name val="Arial"/>
      <charset val="134"/>
    </font>
    <font>
      <sz val="10"/>
      <name val="Arial"/>
      <charset val="134"/>
    </font>
    <font>
      <sz val="11"/>
      <name val="Arial"/>
      <charset val="134"/>
    </font>
    <font>
      <i/>
      <sz val="9"/>
      <color rgb="FF0563C1"/>
      <name val="Arial"/>
      <charset val="134"/>
    </font>
    <font>
      <i/>
      <sz val="9"/>
      <name val="Arial"/>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5F9FC"/>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7"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8" borderId="5" applyNumberFormat="0" applyAlignment="0" applyProtection="0">
      <alignment vertical="center"/>
    </xf>
    <xf numFmtId="0" fontId="19" fillId="9" borderId="6" applyNumberFormat="0" applyAlignment="0" applyProtection="0">
      <alignment vertical="center"/>
    </xf>
    <xf numFmtId="0" fontId="20" fillId="9" borderId="5" applyNumberFormat="0" applyAlignment="0" applyProtection="0">
      <alignment vertical="center"/>
    </xf>
    <xf numFmtId="0" fontId="21" fillId="10"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27" fillId="37" borderId="0" applyNumberFormat="0" applyBorder="0" applyAlignment="0" applyProtection="0">
      <alignment vertical="center"/>
    </xf>
  </cellStyleXfs>
  <cellXfs count="22">
    <xf numFmtId="0" fontId="0" fillId="0" borderId="0" xfId="0"/>
    <xf numFmtId="0" fontId="1" fillId="2" borderId="0" xfId="0" applyNumberFormat="1" applyFont="1" applyFill="1" applyBorder="1"/>
    <xf numFmtId="0" fontId="2" fillId="2" borderId="1" xfId="0" applyNumberFormat="1" applyFont="1" applyFill="1" applyBorder="1" applyAlignment="1">
      <alignment horizontal="center"/>
    </xf>
    <xf numFmtId="0" fontId="3" fillId="3" borderId="1" xfId="0" applyNumberFormat="1" applyFont="1" applyFill="1" applyBorder="1" applyAlignment="1">
      <alignment vertical="center"/>
    </xf>
    <xf numFmtId="0" fontId="3" fillId="4" borderId="1" xfId="0" applyNumberFormat="1" applyFont="1" applyFill="1" applyBorder="1" applyAlignment="1">
      <alignment horizontal="center" vertical="center"/>
    </xf>
    <xf numFmtId="0" fontId="2" fillId="2" borderId="0" xfId="0" applyNumberFormat="1" applyFont="1" applyFill="1" applyBorder="1"/>
    <xf numFmtId="0" fontId="4" fillId="5" borderId="0" xfId="0" applyNumberFormat="1" applyFont="1" applyFill="1" applyBorder="1" applyAlignment="1">
      <alignment vertical="top" wrapText="1"/>
    </xf>
    <xf numFmtId="0" fontId="2" fillId="2" borderId="1" xfId="0" applyNumberFormat="1" applyFont="1" applyFill="1" applyBorder="1" applyAlignment="1">
      <alignment horizontal="center" wrapText="1"/>
    </xf>
    <xf numFmtId="0" fontId="3" fillId="3" borderId="1" xfId="0" applyNumberFormat="1" applyFont="1" applyFill="1" applyBorder="1" applyAlignment="1">
      <alignment vertical="top" wrapText="1"/>
    </xf>
    <xf numFmtId="0" fontId="5" fillId="0" borderId="1" xfId="0" applyNumberFormat="1" applyFont="1" applyFill="1" applyBorder="1" applyAlignment="1">
      <alignment vertical="top" wrapText="1"/>
    </xf>
    <xf numFmtId="0" fontId="3" fillId="5" borderId="1" xfId="0" applyNumberFormat="1" applyFont="1" applyFill="1" applyBorder="1" applyAlignment="1">
      <alignment horizontal="center" vertical="top" wrapText="1"/>
    </xf>
    <xf numFmtId="0" fontId="1" fillId="2" borderId="0" xfId="0" applyNumberFormat="1" applyFont="1" applyFill="1" applyBorder="1" applyAlignment="1">
      <alignment horizontal="left" vertical="center"/>
    </xf>
    <xf numFmtId="0" fontId="4" fillId="5" borderId="0" xfId="0" applyNumberFormat="1" applyFont="1" applyFill="1" applyBorder="1" applyAlignment="1">
      <alignment wrapText="1"/>
    </xf>
    <xf numFmtId="0" fontId="3" fillId="3" borderId="0" xfId="0" applyNumberFormat="1" applyFont="1" applyFill="1" applyBorder="1"/>
    <xf numFmtId="0" fontId="5" fillId="0" borderId="0" xfId="0" applyNumberFormat="1" applyFont="1" applyFill="1" applyBorder="1" applyAlignment="1">
      <alignment wrapText="1"/>
    </xf>
    <xf numFmtId="0" fontId="6" fillId="0" borderId="0" xfId="0" applyNumberFormat="1" applyFont="1" applyFill="1" applyBorder="1"/>
    <xf numFmtId="0" fontId="7" fillId="0" borderId="0" xfId="0" applyNumberFormat="1" applyFont="1" applyFill="1" applyBorder="1" applyAlignment="1">
      <alignment wrapText="1"/>
    </xf>
    <xf numFmtId="0"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top" wrapText="1"/>
    </xf>
    <xf numFmtId="0" fontId="5" fillId="4" borderId="1" xfId="0" applyNumberFormat="1" applyFont="1" applyFill="1" applyBorder="1" applyAlignment="1">
      <alignment horizontal="center" vertical="top" wrapText="1"/>
    </xf>
    <xf numFmtId="0" fontId="8" fillId="0" borderId="1" xfId="0" applyNumberFormat="1" applyFont="1" applyFill="1" applyBorder="1" applyAlignment="1">
      <alignment vertical="top" wrapText="1"/>
    </xf>
    <xf numFmtId="0" fontId="3" fillId="6" borderId="1" xfId="0" applyNumberFormat="1"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showGridLines="0" workbookViewId="0">
      <pane ySplit="7" topLeftCell="A8" activePane="bottomLeft" state="frozen"/>
      <selection/>
      <selection pane="bottomLeft" activeCell="F11" sqref="F11"/>
    </sheetView>
  </sheetViews>
  <sheetFormatPr defaultColWidth="9" defaultRowHeight="14.25" outlineLevelCol="7"/>
  <cols>
    <col min="1" max="1" width="11" customWidth="1"/>
    <col min="2" max="2" width="33" customWidth="1"/>
    <col min="3" max="3" width="30" customWidth="1"/>
    <col min="4" max="4" width="38" customWidth="1"/>
    <col min="5" max="5" width="35" customWidth="1"/>
    <col min="6" max="6" width="30" customWidth="1"/>
    <col min="7" max="7" width="13" customWidth="1"/>
    <col min="8" max="8" width="25" customWidth="1"/>
  </cols>
  <sheetData>
    <row r="1" ht="26" customHeight="1" spans="1:8">
      <c r="A1" s="11" t="s">
        <v>0</v>
      </c>
      <c r="B1" s="11"/>
      <c r="C1" s="11"/>
      <c r="D1" s="11"/>
      <c r="E1" s="11"/>
      <c r="F1" s="11"/>
      <c r="G1" s="11"/>
      <c r="H1" s="11"/>
    </row>
    <row r="2" spans="1:8">
      <c r="A2" s="12" t="s">
        <v>1</v>
      </c>
      <c r="B2" s="12"/>
      <c r="C2" s="12"/>
      <c r="D2" s="12"/>
      <c r="E2" s="12"/>
      <c r="F2" s="12"/>
      <c r="G2" s="12"/>
      <c r="H2" s="12"/>
    </row>
    <row r="3" spans="1:8">
      <c r="A3" s="13" t="s">
        <v>2</v>
      </c>
      <c r="B3" s="14" t="s">
        <v>3</v>
      </c>
      <c r="C3" s="15"/>
      <c r="D3" s="15"/>
      <c r="E3" s="15"/>
      <c r="F3" s="15"/>
      <c r="G3" s="15"/>
      <c r="H3" s="15"/>
    </row>
    <row r="4" spans="1:8">
      <c r="A4" s="13" t="s">
        <v>4</v>
      </c>
      <c r="B4" s="14" t="s">
        <v>5</v>
      </c>
      <c r="C4" s="15"/>
      <c r="D4" s="15"/>
      <c r="E4" s="15"/>
      <c r="F4" s="15"/>
      <c r="G4" s="15"/>
      <c r="H4" s="15"/>
    </row>
    <row r="5" ht="38.25" spans="1:8">
      <c r="A5" s="13" t="s">
        <v>6</v>
      </c>
      <c r="B5" s="14" t="s">
        <v>7</v>
      </c>
      <c r="C5" s="15"/>
      <c r="D5" s="15"/>
      <c r="E5" s="15"/>
      <c r="F5" s="15"/>
      <c r="G5" s="15"/>
      <c r="H5" s="15"/>
    </row>
    <row r="6" spans="1:8">
      <c r="A6" s="16" t="s">
        <v>8</v>
      </c>
      <c r="B6" s="16"/>
      <c r="C6" s="16"/>
      <c r="D6" s="16"/>
      <c r="E6" s="16"/>
      <c r="F6" s="16"/>
      <c r="G6" s="16"/>
      <c r="H6" s="16"/>
    </row>
    <row r="7" ht="30" customHeight="1" spans="1:8">
      <c r="A7" s="17" t="s">
        <v>9</v>
      </c>
      <c r="B7" s="17" t="s">
        <v>10</v>
      </c>
      <c r="C7" s="17" t="s">
        <v>11</v>
      </c>
      <c r="D7" s="17" t="s">
        <v>12</v>
      </c>
      <c r="E7" s="17" t="s">
        <v>13</v>
      </c>
      <c r="F7" s="17" t="s">
        <v>14</v>
      </c>
      <c r="G7" s="17" t="s">
        <v>15</v>
      </c>
      <c r="H7" s="17" t="s">
        <v>16</v>
      </c>
    </row>
    <row r="8" ht="48" customHeight="1" spans="1:8">
      <c r="A8" s="18" t="s">
        <v>17</v>
      </c>
      <c r="B8" s="9" t="s">
        <v>18</v>
      </c>
      <c r="C8" s="9" t="s">
        <v>19</v>
      </c>
      <c r="D8" s="9" t="s">
        <v>20</v>
      </c>
      <c r="E8" s="9" t="s">
        <v>21</v>
      </c>
      <c r="F8" s="9" t="s">
        <v>21</v>
      </c>
      <c r="G8" s="19" t="s">
        <v>22</v>
      </c>
      <c r="H8" s="20" t="s">
        <v>23</v>
      </c>
    </row>
    <row r="9" ht="48" customHeight="1" spans="1:8">
      <c r="A9" s="18" t="s">
        <v>24</v>
      </c>
      <c r="B9" s="9" t="s">
        <v>25</v>
      </c>
      <c r="C9" s="9" t="s">
        <v>26</v>
      </c>
      <c r="D9" s="9" t="s">
        <v>27</v>
      </c>
      <c r="E9" s="9" t="s">
        <v>28</v>
      </c>
      <c r="F9" s="9"/>
      <c r="G9" s="19" t="s">
        <v>29</v>
      </c>
      <c r="H9" s="20" t="s">
        <v>23</v>
      </c>
    </row>
    <row r="10" ht="48" customHeight="1" spans="1:8">
      <c r="A10" s="18" t="s">
        <v>30</v>
      </c>
      <c r="B10" s="9" t="s">
        <v>31</v>
      </c>
      <c r="C10" s="9" t="s">
        <v>26</v>
      </c>
      <c r="D10" s="9" t="s">
        <v>32</v>
      </c>
      <c r="E10" s="9" t="s">
        <v>33</v>
      </c>
      <c r="F10" s="9" t="s">
        <v>33</v>
      </c>
      <c r="G10" s="19" t="s">
        <v>22</v>
      </c>
      <c r="H10" s="20" t="s">
        <v>23</v>
      </c>
    </row>
    <row r="11" ht="48" customHeight="1" spans="1:8">
      <c r="A11" s="18" t="s">
        <v>34</v>
      </c>
      <c r="B11" s="9" t="s">
        <v>35</v>
      </c>
      <c r="C11" s="9" t="s">
        <v>36</v>
      </c>
      <c r="D11" s="9" t="s">
        <v>37</v>
      </c>
      <c r="E11" s="9" t="s">
        <v>38</v>
      </c>
      <c r="F11" s="9"/>
      <c r="G11" s="19" t="s">
        <v>29</v>
      </c>
      <c r="H11" s="20" t="s">
        <v>23</v>
      </c>
    </row>
    <row r="12" ht="48" customHeight="1" spans="1:8">
      <c r="A12" s="18" t="s">
        <v>39</v>
      </c>
      <c r="B12" s="9" t="s">
        <v>40</v>
      </c>
      <c r="C12" s="9" t="s">
        <v>41</v>
      </c>
      <c r="D12" s="9" t="s">
        <v>37</v>
      </c>
      <c r="E12" s="9" t="s">
        <v>42</v>
      </c>
      <c r="F12" s="9"/>
      <c r="G12" s="19" t="s">
        <v>29</v>
      </c>
      <c r="H12" s="20" t="s">
        <v>23</v>
      </c>
    </row>
    <row r="13" ht="48" customHeight="1" spans="1:8">
      <c r="A13" s="18" t="s">
        <v>43</v>
      </c>
      <c r="B13" s="9" t="s">
        <v>44</v>
      </c>
      <c r="C13" s="9" t="s">
        <v>45</v>
      </c>
      <c r="D13" s="9" t="s">
        <v>46</v>
      </c>
      <c r="E13" s="9" t="s">
        <v>47</v>
      </c>
      <c r="F13" s="9"/>
      <c r="G13" s="19" t="s">
        <v>29</v>
      </c>
      <c r="H13" s="20" t="s">
        <v>23</v>
      </c>
    </row>
    <row r="14" ht="48" customHeight="1" spans="1:8">
      <c r="A14" s="18" t="s">
        <v>48</v>
      </c>
      <c r="B14" s="9" t="s">
        <v>49</v>
      </c>
      <c r="C14" s="9" t="s">
        <v>26</v>
      </c>
      <c r="D14" s="9" t="s">
        <v>46</v>
      </c>
      <c r="E14" s="9" t="s">
        <v>50</v>
      </c>
      <c r="F14" s="9"/>
      <c r="G14" s="19" t="s">
        <v>29</v>
      </c>
      <c r="H14" s="20" t="s">
        <v>23</v>
      </c>
    </row>
    <row r="15" ht="48" customHeight="1" spans="1:8">
      <c r="A15" s="18" t="s">
        <v>51</v>
      </c>
      <c r="B15" s="9" t="s">
        <v>52</v>
      </c>
      <c r="C15" s="9" t="s">
        <v>26</v>
      </c>
      <c r="D15" s="9" t="s">
        <v>53</v>
      </c>
      <c r="E15" s="9" t="s">
        <v>54</v>
      </c>
      <c r="F15" s="9"/>
      <c r="G15" s="19" t="s">
        <v>29</v>
      </c>
      <c r="H15" s="20" t="s">
        <v>23</v>
      </c>
    </row>
    <row r="16" ht="48" customHeight="1" spans="1:8">
      <c r="A16" s="18" t="s">
        <v>55</v>
      </c>
      <c r="B16" s="9" t="s">
        <v>56</v>
      </c>
      <c r="C16" s="9" t="s">
        <v>26</v>
      </c>
      <c r="D16" s="9" t="s">
        <v>57</v>
      </c>
      <c r="E16" s="9" t="s">
        <v>58</v>
      </c>
      <c r="F16" s="9" t="s">
        <v>58</v>
      </c>
      <c r="G16" s="19" t="s">
        <v>22</v>
      </c>
      <c r="H16" s="20" t="s">
        <v>23</v>
      </c>
    </row>
    <row r="17" ht="48" customHeight="1" spans="1:8">
      <c r="A17" s="18" t="s">
        <v>59</v>
      </c>
      <c r="B17" s="9" t="s">
        <v>60</v>
      </c>
      <c r="C17" s="9" t="s">
        <v>61</v>
      </c>
      <c r="D17" s="9" t="s">
        <v>62</v>
      </c>
      <c r="E17" s="9" t="s">
        <v>63</v>
      </c>
      <c r="F17" s="9" t="s">
        <v>63</v>
      </c>
      <c r="G17" s="19" t="s">
        <v>22</v>
      </c>
      <c r="H17" s="20" t="s">
        <v>23</v>
      </c>
    </row>
    <row r="18" ht="48" customHeight="1" spans="1:8">
      <c r="A18" s="18" t="s">
        <v>64</v>
      </c>
      <c r="B18" s="9" t="s">
        <v>65</v>
      </c>
      <c r="C18" s="9" t="s">
        <v>66</v>
      </c>
      <c r="D18" s="9" t="s">
        <v>67</v>
      </c>
      <c r="E18" s="9" t="s">
        <v>68</v>
      </c>
      <c r="F18" s="9"/>
      <c r="G18" s="19" t="s">
        <v>29</v>
      </c>
      <c r="H18" s="20" t="s">
        <v>23</v>
      </c>
    </row>
    <row r="19" ht="48" customHeight="1" spans="1:8">
      <c r="A19" s="18" t="s">
        <v>69</v>
      </c>
      <c r="B19" s="9" t="s">
        <v>70</v>
      </c>
      <c r="C19" s="9" t="s">
        <v>71</v>
      </c>
      <c r="D19" s="9" t="s">
        <v>72</v>
      </c>
      <c r="E19" s="9" t="s">
        <v>73</v>
      </c>
      <c r="F19" s="9"/>
      <c r="G19" s="19" t="s">
        <v>29</v>
      </c>
      <c r="H19" s="20" t="s">
        <v>23</v>
      </c>
    </row>
    <row r="20" ht="80" customHeight="1" spans="1:8">
      <c r="A20" s="18" t="s">
        <v>74</v>
      </c>
      <c r="B20" s="9" t="s">
        <v>75</v>
      </c>
      <c r="C20" s="9" t="s">
        <v>76</v>
      </c>
      <c r="D20" s="9" t="s">
        <v>77</v>
      </c>
      <c r="E20" s="9" t="s">
        <v>78</v>
      </c>
      <c r="F20" s="9"/>
      <c r="G20" s="21" t="s">
        <v>29</v>
      </c>
      <c r="H20" s="20" t="s">
        <v>79</v>
      </c>
    </row>
    <row r="21" ht="48" customHeight="1" spans="1:8">
      <c r="A21" s="18" t="s">
        <v>80</v>
      </c>
      <c r="B21" s="9" t="s">
        <v>81</v>
      </c>
      <c r="C21" s="9" t="s">
        <v>82</v>
      </c>
      <c r="D21" s="9" t="s">
        <v>83</v>
      </c>
      <c r="E21" s="9" t="s">
        <v>84</v>
      </c>
      <c r="F21" s="9" t="s">
        <v>85</v>
      </c>
      <c r="G21" s="21" t="s">
        <v>86</v>
      </c>
      <c r="H21" s="20" t="s">
        <v>79</v>
      </c>
    </row>
    <row r="22" ht="93" customHeight="1" spans="1:8">
      <c r="A22" s="18" t="s">
        <v>87</v>
      </c>
      <c r="B22" s="9" t="s">
        <v>88</v>
      </c>
      <c r="C22" s="9" t="s">
        <v>89</v>
      </c>
      <c r="D22" s="9" t="s">
        <v>90</v>
      </c>
      <c r="E22" s="9" t="s">
        <v>91</v>
      </c>
      <c r="F22" s="9"/>
      <c r="G22" s="21" t="s">
        <v>29</v>
      </c>
      <c r="H22" s="20" t="s">
        <v>79</v>
      </c>
    </row>
  </sheetData>
  <mergeCells count="3">
    <mergeCell ref="A1:H1"/>
    <mergeCell ref="A2:H2"/>
    <mergeCell ref="A6:H6"/>
  </mergeCells>
  <dataValidations count="1">
    <dataValidation type="list" sqref="G8:G22">
      <formula1>"PASS,FAIL,BLOCKED,Pending"</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showGridLines="0" tabSelected="1" workbookViewId="0">
      <selection activeCell="C13" sqref="C13"/>
    </sheetView>
  </sheetViews>
  <sheetFormatPr defaultColWidth="9" defaultRowHeight="14.25" outlineLevelCol="3"/>
  <cols>
    <col min="1" max="1" width="22" customWidth="1"/>
    <col min="2" max="2" width="55" customWidth="1"/>
    <col min="3" max="3" width="18" customWidth="1"/>
    <col min="4" max="4" width="42" customWidth="1"/>
  </cols>
  <sheetData>
    <row r="1" ht="18" spans="1:4">
      <c r="A1" s="1" t="s">
        <v>92</v>
      </c>
      <c r="B1" s="1"/>
      <c r="C1" s="1"/>
      <c r="D1" s="1"/>
    </row>
    <row r="3" spans="1:4">
      <c r="A3" s="7" t="s">
        <v>93</v>
      </c>
      <c r="B3" s="7" t="s">
        <v>94</v>
      </c>
      <c r="C3" s="7" t="s">
        <v>95</v>
      </c>
      <c r="D3" s="7" t="s">
        <v>96</v>
      </c>
    </row>
    <row r="4" ht="42" customHeight="1" spans="1:4">
      <c r="A4" s="8" t="s">
        <v>97</v>
      </c>
      <c r="B4" s="9" t="s">
        <v>98</v>
      </c>
      <c r="C4" s="10" t="s">
        <v>99</v>
      </c>
      <c r="D4" s="9" t="s">
        <v>100</v>
      </c>
    </row>
    <row r="5" ht="42" customHeight="1" spans="1:4">
      <c r="A5" s="8" t="s">
        <v>101</v>
      </c>
      <c r="B5" s="9" t="s">
        <v>102</v>
      </c>
      <c r="C5" s="10" t="s">
        <v>99</v>
      </c>
      <c r="D5" s="9" t="s">
        <v>103</v>
      </c>
    </row>
    <row r="6" ht="42" customHeight="1" spans="1:4">
      <c r="A6" s="8" t="s">
        <v>104</v>
      </c>
      <c r="B6" s="9" t="s">
        <v>105</v>
      </c>
      <c r="C6" s="10" t="s">
        <v>99</v>
      </c>
      <c r="D6" s="9" t="s">
        <v>106</v>
      </c>
    </row>
    <row r="7" ht="42" customHeight="1" spans="1:4">
      <c r="A7" s="8" t="s">
        <v>107</v>
      </c>
      <c r="B7" s="9" t="s">
        <v>108</v>
      </c>
      <c r="C7" s="10" t="s">
        <v>99</v>
      </c>
      <c r="D7" s="9" t="s">
        <v>109</v>
      </c>
    </row>
    <row r="8" ht="42" customHeight="1" spans="1:4">
      <c r="A8" s="8" t="s">
        <v>110</v>
      </c>
      <c r="B8" s="9" t="s">
        <v>111</v>
      </c>
      <c r="C8" s="10" t="s">
        <v>99</v>
      </c>
      <c r="D8" s="9" t="s">
        <v>112</v>
      </c>
    </row>
    <row r="9" ht="42" customHeight="1" spans="1:4">
      <c r="A9" s="8" t="s">
        <v>113</v>
      </c>
      <c r="B9" s="9" t="s">
        <v>114</v>
      </c>
      <c r="C9" s="10" t="s">
        <v>99</v>
      </c>
      <c r="D9" s="9" t="s">
        <v>115</v>
      </c>
    </row>
    <row r="10" ht="42" customHeight="1" spans="1:4">
      <c r="A10" s="8" t="s">
        <v>116</v>
      </c>
      <c r="B10" s="9" t="s">
        <v>117</v>
      </c>
      <c r="C10" s="10" t="s">
        <v>99</v>
      </c>
      <c r="D10" s="9" t="s">
        <v>118</v>
      </c>
    </row>
  </sheetData>
  <mergeCells count="1">
    <mergeCell ref="A1:D1"/>
  </mergeCells>
  <dataValidations count="1">
    <dataValidation type="list" sqref="C4:C10">
      <formula1>"Not started,In progress,Completed"</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showGridLines="0" workbookViewId="0">
      <selection activeCell="D6" sqref="D6"/>
    </sheetView>
  </sheetViews>
  <sheetFormatPr defaultColWidth="9" defaultRowHeight="14.25" outlineLevelCol="3"/>
  <cols>
    <col min="1" max="1" width="34" customWidth="1"/>
    <col min="2" max="2" width="18" customWidth="1"/>
    <col min="3" max="4" width="24" customWidth="1"/>
  </cols>
  <sheetData>
    <row r="1" ht="18" spans="1:4">
      <c r="A1" s="1" t="s">
        <v>119</v>
      </c>
      <c r="B1" s="1"/>
      <c r="C1" s="1"/>
      <c r="D1" s="1"/>
    </row>
    <row r="3" spans="1:4">
      <c r="A3" s="2" t="s">
        <v>120</v>
      </c>
      <c r="B3" s="2" t="s">
        <v>121</v>
      </c>
    </row>
    <row r="4" spans="1:4">
      <c r="A4" s="3" t="s">
        <v>122</v>
      </c>
      <c r="B4" s="4">
        <v>15</v>
      </c>
    </row>
    <row r="5" spans="1:4">
      <c r="A5" s="3" t="s">
        <v>123</v>
      </c>
      <c r="B5" s="4">
        <v>12</v>
      </c>
    </row>
    <row r="6" spans="1:4">
      <c r="A6" s="3" t="s">
        <v>124</v>
      </c>
      <c r="B6" s="4">
        <v>3</v>
      </c>
    </row>
    <row r="7" spans="1:4">
      <c r="A7" s="3" t="s">
        <v>125</v>
      </c>
      <c r="B7" s="4">
        <f>COUNTIF('Test Cases'!G8:G22,"Success")+COUNTIF('Test Cases'!G8:G22,"FAIL")+COUNTIF('Test Cases'!G8:G22,"BLOCKED")</f>
        <v>5</v>
      </c>
    </row>
    <row r="8" spans="1:4">
      <c r="A8" s="3" t="s">
        <v>126</v>
      </c>
      <c r="B8" s="4">
        <f>COUNTIF('Test Cases'!G8:G22,"Success")</f>
        <v>4</v>
      </c>
    </row>
    <row r="9" spans="1:4">
      <c r="A9" s="3" t="s">
        <v>127</v>
      </c>
      <c r="B9" s="4">
        <f>COUNTIF('Test Cases'!G8:G22,"FAIL")</f>
        <v>1</v>
      </c>
    </row>
    <row r="10" spans="1:4">
      <c r="A10" s="3" t="s">
        <v>128</v>
      </c>
      <c r="B10" s="4">
        <f>COUNTIF('Test Cases'!G8:G22,"Pending")+COUNTBLANK('Test Cases'!G8:G22)</f>
        <v>10</v>
      </c>
    </row>
    <row r="12" spans="1:4">
      <c r="A12" s="5" t="s">
        <v>129</v>
      </c>
      <c r="B12" s="5" t="s">
        <v>130</v>
      </c>
      <c r="C12" s="5"/>
      <c r="D12" s="5"/>
    </row>
    <row r="13" ht="32" customHeight="1" spans="1:4">
      <c r="A13" s="6"/>
      <c r="B13" s="6"/>
      <c r="C13" s="6"/>
      <c r="D13" s="6"/>
    </row>
    <row r="14" ht="32" customHeight="1" spans="1:4">
      <c r="A14" s="6"/>
      <c r="B14" s="6"/>
      <c r="C14" s="6"/>
      <c r="D14" s="6"/>
    </row>
  </sheetData>
  <mergeCells count="3">
    <mergeCell ref="A1:D1"/>
    <mergeCell ref="A12:D12"/>
    <mergeCell ref="A13:D1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Test Cases</vt:lpstr>
      <vt:lpstr>Checklist</vt:lpstr>
      <vt:lpstr>Test Summary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Tung Nguyen</cp:lastModifiedBy>
  <dcterms:created xsi:type="dcterms:W3CDTF">2026-09-27T07:11:00Z</dcterms:created>
  <dcterms:modified xsi:type="dcterms:W3CDTF">2026-09-27T10:42:28Z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7F074A635F43479EB20A3A6B2B443C7A_12</vt:lpwstr>
  </property>
  <property fmtid="{D5CDD505-2E9C-101B-9397-08002B2CF9AE}" pid="3" name="KSOProductBuildVer">
    <vt:lpwstr>1033-12.1.0.28485</vt:lpwstr>
  </property>
  <property fmtid="{D5CDD505-2E9C-101B-9397-08002B2CF9AE}" pid="4" name="CalculationRule">
    <vt:i4>0</vt:i4>
  </property>
</Properties>
</file>